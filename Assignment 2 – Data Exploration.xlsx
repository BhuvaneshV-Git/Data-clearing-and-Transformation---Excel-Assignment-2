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8f905ade0c4dd8/Bhuvanesh/Assignment 2/"/>
    </mc:Choice>
  </mc:AlternateContent>
  <xr:revisionPtr revIDLastSave="243" documentId="8_{F1AD51DE-5632-4220-B1BB-8FA65CB2A9DF}" xr6:coauthVersionLast="47" xr6:coauthVersionMax="47" xr10:uidLastSave="{6D7EC78B-DB4D-4E33-9645-FA710A5135FA}"/>
  <bookViews>
    <workbookView xWindow="-120" yWindow="-120" windowWidth="20730" windowHeight="11040" activeTab="1" xr2:uid="{D56D5C3F-C244-47D6-B937-2236EBCC8A97}"/>
  </bookViews>
  <sheets>
    <sheet name="Output" sheetId="2" r:id="rId1"/>
    <sheet name="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2" i="2" l="1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<sst xmlns="http://schemas.openxmlformats.org/spreadsheetml/2006/main" count="240" uniqueCount="160">
  <si>
    <t>Excel Assignment 2 – Data Exploration</t>
  </si>
  <si>
    <t>Data Cleaning</t>
  </si>
  <si>
    <t>1.Removing Duplicates</t>
  </si>
  <si>
    <t>1. When the data set is received there will be duplicates (Repetated Values or Data)</t>
  </si>
  <si>
    <t>2. Finding the duplicate and removing by the (Product ID,  Product Name, Brand Name, Price ($), Quantity, Category)</t>
  </si>
  <si>
    <t>3. Select all the data, Then Go to Data - Remove duplicates</t>
  </si>
  <si>
    <t>6. Remove duplicate - #3 duplicates Removed.</t>
  </si>
  <si>
    <t>Also We can do this in Power query</t>
  </si>
  <si>
    <t>1. Power Query</t>
  </si>
  <si>
    <t>2. Select all data - Go to Data - Get data - From other sources</t>
  </si>
  <si>
    <t>3. Select a Product ID Row - Remove rows - Remove duplicates</t>
  </si>
  <si>
    <t>4. By this we can able to remove duplicate in power query</t>
  </si>
  <si>
    <t>2. Correcting Inconsistent Data:</t>
  </si>
  <si>
    <t>1. To correct the inconsistent data first we need to clean the data</t>
  </si>
  <si>
    <t>2. I have identified that Product name have some uncleaned data</t>
  </si>
  <si>
    <t>5. Also in Category we have some Inconsistent data for that am using find and Replace</t>
  </si>
  <si>
    <t>6. CTRL+H = Find and Replace</t>
  </si>
  <si>
    <t>1. Reviewing the data found some missing values in Price columns and Category columns</t>
  </si>
  <si>
    <t xml:space="preserve">3. For that I am going to use </t>
  </si>
  <si>
    <t>2. To Calculate how many missing values in row we can use</t>
  </si>
  <si>
    <t>3. Splitting and Merging Data</t>
  </si>
  <si>
    <t>1. Here we need to split the product key by " Manufacturing Date" and "Country Code"</t>
  </si>
  <si>
    <t>2. In power query add the data as above</t>
  </si>
  <si>
    <t>3. To this am using split column</t>
  </si>
  <si>
    <t>4. Select the Row that’s need to be splited "Product Key"</t>
  </si>
  <si>
    <t xml:space="preserve">5. I need the country code seprated from the </t>
  </si>
  <si>
    <t>Data so am give the above selection</t>
  </si>
  <si>
    <t>6. By this I can split the Product key as " Manufacturing Date" and "Country Code"</t>
  </si>
  <si>
    <t>7. Also am going to merge the "Brand Name" and "Product Name" into one column as Product Brand.</t>
  </si>
  <si>
    <t>8. Select the Rows that needs to be Merged</t>
  </si>
  <si>
    <t>9. Use Merge columns</t>
  </si>
  <si>
    <t>10. I need them merged between "-"</t>
  </si>
  <si>
    <t>11. Now I have to "Product Brand"</t>
  </si>
  <si>
    <t>4. Number Formatting:</t>
  </si>
  <si>
    <t>1. We already splited the Product key in power query, So have the Date formatted as "DD-MM-YYYY "</t>
  </si>
  <si>
    <t>2. In Power Query for price column we have the option to convert it as Currency formet</t>
  </si>
  <si>
    <t>3. After that we have missing values in Pricing column and catogery  column</t>
  </si>
  <si>
    <t>4. Pricing columns we don’t have margin value so for that we can use avarge to fill the missing values</t>
  </si>
  <si>
    <t>6. In Category column we can fill the blanks as "Unknown"</t>
  </si>
  <si>
    <t>7. To fill the blanks with Unknown</t>
  </si>
  <si>
    <t xml:space="preserve">3. We have the Small logo as </t>
  </si>
  <si>
    <t>5. Handling Missing Values:</t>
  </si>
  <si>
    <t>6. Conditional Formatting:</t>
  </si>
  <si>
    <t>1. Apply data bar or color scales conditional formatting in the "Price" column.</t>
  </si>
  <si>
    <t>2. Select the Price row</t>
  </si>
  <si>
    <t>3. Conditional formatting - Data Bars</t>
  </si>
  <si>
    <t>4. Create a custom rule for conditional formatting in the "Category" column to highlight cells where the category is "Electronics.</t>
  </si>
  <si>
    <t>5. Conditional formatting - Highlight Cell rule - Text that contains</t>
  </si>
  <si>
    <t>Date</t>
  </si>
  <si>
    <t>Country Code</t>
  </si>
  <si>
    <t>Product Name</t>
  </si>
  <si>
    <t>Brand Name</t>
  </si>
  <si>
    <t>Price ($)</t>
  </si>
  <si>
    <t>Quantity</t>
  </si>
  <si>
    <t>Category</t>
  </si>
  <si>
    <t>Product Category</t>
  </si>
  <si>
    <t>US</t>
  </si>
  <si>
    <t>laptop</t>
  </si>
  <si>
    <t>Dell</t>
  </si>
  <si>
    <t>Electronics</t>
  </si>
  <si>
    <t>laptop-Dell</t>
  </si>
  <si>
    <t>Sneakers</t>
  </si>
  <si>
    <t>Nike</t>
  </si>
  <si>
    <t>Fashion</t>
  </si>
  <si>
    <t>Sneakers-Nike</t>
  </si>
  <si>
    <t>Coffee Maker</t>
  </si>
  <si>
    <t>Keurig</t>
  </si>
  <si>
    <t>Kitchen</t>
  </si>
  <si>
    <t>Coffee Maker-Keurig</t>
  </si>
  <si>
    <t>smartphone</t>
  </si>
  <si>
    <t>Samsung</t>
  </si>
  <si>
    <t>smartphone-Samsung</t>
  </si>
  <si>
    <t>Backpack</t>
  </si>
  <si>
    <t>North Face</t>
  </si>
  <si>
    <t>Backpack-North Face</t>
  </si>
  <si>
    <t>Unknown</t>
  </si>
  <si>
    <t>UK</t>
  </si>
  <si>
    <t>Headphones</t>
  </si>
  <si>
    <t>Sony</t>
  </si>
  <si>
    <t>Electroni</t>
  </si>
  <si>
    <t>Headphones-Sony</t>
  </si>
  <si>
    <t>T-shirt</t>
  </si>
  <si>
    <t>Adidas</t>
  </si>
  <si>
    <t>T-shirt-Adidas</t>
  </si>
  <si>
    <t>Blender</t>
  </si>
  <si>
    <t>Ninja</t>
  </si>
  <si>
    <t>Blender-Ninja</t>
  </si>
  <si>
    <t>Tablet</t>
  </si>
  <si>
    <t>Apple</t>
  </si>
  <si>
    <t>Tablet-Apple</t>
  </si>
  <si>
    <t>Hiking Boots</t>
  </si>
  <si>
    <t>Timberland</t>
  </si>
  <si>
    <t>Outdoor</t>
  </si>
  <si>
    <t>Hiking Boots-Timberland</t>
  </si>
  <si>
    <t>IN</t>
  </si>
  <si>
    <t>Laptop</t>
  </si>
  <si>
    <t>HP</t>
  </si>
  <si>
    <t>Laptop-HP</t>
  </si>
  <si>
    <t>AU</t>
  </si>
  <si>
    <t>Sneakers-Adidas</t>
  </si>
  <si>
    <t>DE</t>
  </si>
  <si>
    <t>Nespresso</t>
  </si>
  <si>
    <t>Coffee Maker-Nespresso</t>
  </si>
  <si>
    <t>CA</t>
  </si>
  <si>
    <t>Smartwatch</t>
  </si>
  <si>
    <t>Fitbit</t>
  </si>
  <si>
    <t>Smartwatch-Fitbit</t>
  </si>
  <si>
    <t>ES</t>
  </si>
  <si>
    <t>headphones</t>
  </si>
  <si>
    <t>Bose</t>
  </si>
  <si>
    <t>headphones-Bose</t>
  </si>
  <si>
    <t>Laptop Bag</t>
  </si>
  <si>
    <t>Samsonite</t>
  </si>
  <si>
    <t>Accessories</t>
  </si>
  <si>
    <t>Laptop Bag-Samsonite</t>
  </si>
  <si>
    <t>CN</t>
  </si>
  <si>
    <t>Huawei</t>
  </si>
  <si>
    <t>Smartwatch-Huawei</t>
  </si>
  <si>
    <t>IT</t>
  </si>
  <si>
    <t>Asus</t>
  </si>
  <si>
    <t>laptop-Asus</t>
  </si>
  <si>
    <t>Sunglasses</t>
  </si>
  <si>
    <t>Oakley</t>
  </si>
  <si>
    <t>Sunglasses-Oakley</t>
  </si>
  <si>
    <t>Camping Tent</t>
  </si>
  <si>
    <t>Coleman</t>
  </si>
  <si>
    <t>Camping Tent-Coleman</t>
  </si>
  <si>
    <t>RU</t>
  </si>
  <si>
    <t>Camera</t>
  </si>
  <si>
    <t>Nikon</t>
  </si>
  <si>
    <t>Camera-Nikon</t>
  </si>
  <si>
    <t>Microwave</t>
  </si>
  <si>
    <t>Panasonic</t>
  </si>
  <si>
    <t>Microwave-Panasonic</t>
  </si>
  <si>
    <t>BR</t>
  </si>
  <si>
    <t>Fitness Tracker</t>
  </si>
  <si>
    <t>Xiaomi</t>
  </si>
  <si>
    <t>Fitness Tracker-Xiaomi</t>
  </si>
  <si>
    <t>Smartphone</t>
  </si>
  <si>
    <t>Google</t>
  </si>
  <si>
    <t>Smartphone-Google</t>
  </si>
  <si>
    <t>Ray-Ban</t>
  </si>
  <si>
    <t>Sunglasses-Ray-Ban</t>
  </si>
  <si>
    <t>Vitamix</t>
  </si>
  <si>
    <t>Blender-Vitamix</t>
  </si>
  <si>
    <t>Dress</t>
  </si>
  <si>
    <t>Zara</t>
  </si>
  <si>
    <t>Dress-Zara</t>
  </si>
  <si>
    <t>Toaster</t>
  </si>
  <si>
    <t>Hamilton</t>
  </si>
  <si>
    <t>Toaster-Hamilton</t>
  </si>
  <si>
    <t>Garmin</t>
  </si>
  <si>
    <t>Fitness Tracker-Garmin</t>
  </si>
  <si>
    <t>Jeans</t>
  </si>
  <si>
    <t>Levi's</t>
  </si>
  <si>
    <t>Jeans-Levi's</t>
  </si>
  <si>
    <t>FR</t>
  </si>
  <si>
    <t>Watch</t>
  </si>
  <si>
    <t>Casio</t>
  </si>
  <si>
    <t>Watch-Casio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</si>
</sst>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3" fillId="0" borderId="0" xfId="1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11</xdr:row>
      <xdr:rowOff>104775</xdr:rowOff>
    </xdr:from>
    <xdr:to>
      <xdr:col>20</xdr:col>
      <xdr:colOff>20476</xdr:colOff>
      <xdr:row>17</xdr:row>
      <xdr:rowOff>162093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07663-0C05-67E7-D21C-7D27BC299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" y="2200275"/>
          <a:ext cx="10221751" cy="1200318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18</xdr:row>
      <xdr:rowOff>38100</xdr:rowOff>
    </xdr:from>
    <xdr:to>
      <xdr:col>7</xdr:col>
      <xdr:colOff>485775</xdr:colOff>
      <xdr:row>27</xdr:row>
      <xdr:rowOff>72081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BA75B-7A76-2E12-7F4A-56E70E41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9775" y="3467100"/>
          <a:ext cx="2743200" cy="1748481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34</xdr:row>
      <xdr:rowOff>179843</xdr:rowOff>
    </xdr:from>
    <xdr:to>
      <xdr:col>9</xdr:col>
      <xdr:colOff>562894</xdr:colOff>
      <xdr:row>52</xdr:row>
      <xdr:rowOff>67426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282CD1-3995-2491-9030-24C4A085A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1825" y="6656843"/>
          <a:ext cx="4049044" cy="3316583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54</xdr:row>
      <xdr:rowOff>152400</xdr:rowOff>
    </xdr:from>
    <xdr:to>
      <xdr:col>9</xdr:col>
      <xdr:colOff>85725</xdr:colOff>
      <xdr:row>60</xdr:row>
      <xdr:rowOff>59473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61B4AC-9BE9-EF42-CBAE-4AFFF3511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4725" y="10439400"/>
          <a:ext cx="3228975" cy="1050073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54</xdr:row>
      <xdr:rowOff>104775</xdr:rowOff>
    </xdr:from>
    <xdr:to>
      <xdr:col>14</xdr:col>
      <xdr:colOff>390525</xdr:colOff>
      <xdr:row>61</xdr:row>
      <xdr:rowOff>47480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80C4E8-2246-C935-9AC4-CB4C2128A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8950" y="10391775"/>
          <a:ext cx="3257550" cy="127620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68</xdr:row>
      <xdr:rowOff>19050</xdr:rowOff>
    </xdr:from>
    <xdr:to>
      <xdr:col>8</xdr:col>
      <xdr:colOff>324298</xdr:colOff>
      <xdr:row>69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60408C-A247-B062-3142-CC3FCDC0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62300" y="12973050"/>
          <a:ext cx="3210373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185768</xdr:colOff>
      <xdr:row>69</xdr:row>
      <xdr:rowOff>85725</xdr:rowOff>
    </xdr:from>
    <xdr:to>
      <xdr:col>10</xdr:col>
      <xdr:colOff>153296</xdr:colOff>
      <xdr:row>89</xdr:row>
      <xdr:rowOff>57744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D17A261-8DF5-F8A1-A8F4-CBC20A38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09768" y="13230225"/>
          <a:ext cx="5711103" cy="3782019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92</xdr:row>
      <xdr:rowOff>38100</xdr:rowOff>
    </xdr:from>
    <xdr:to>
      <xdr:col>7</xdr:col>
      <xdr:colOff>591155</xdr:colOff>
      <xdr:row>102</xdr:row>
      <xdr:rowOff>28840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8746935-96BF-4C71-6366-EB20EC88C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5450" y="17564100"/>
          <a:ext cx="4334480" cy="18957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229</xdr:row>
      <xdr:rowOff>180975</xdr:rowOff>
    </xdr:from>
    <xdr:to>
      <xdr:col>9</xdr:col>
      <xdr:colOff>57381</xdr:colOff>
      <xdr:row>231</xdr:row>
      <xdr:rowOff>28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480367-164E-D6B1-1C99-A2144A98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57775" y="20564475"/>
          <a:ext cx="1657581" cy="200053"/>
        </a:xfrm>
        <a:prstGeom prst="rect">
          <a:avLst/>
        </a:prstGeom>
      </xdr:spPr>
    </xdr:pic>
    <xdr:clientData/>
  </xdr:twoCellAnchor>
  <xdr:twoCellAnchor editAs="oneCell">
    <xdr:from>
      <xdr:col>2</xdr:col>
      <xdr:colOff>88254</xdr:colOff>
      <xdr:row>110</xdr:row>
      <xdr:rowOff>76200</xdr:rowOff>
    </xdr:from>
    <xdr:to>
      <xdr:col>9</xdr:col>
      <xdr:colOff>178435</xdr:colOff>
      <xdr:row>137</xdr:row>
      <xdr:rowOff>130810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6D57E6-C500-5356-D466-3AD613905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12254" y="21031200"/>
          <a:ext cx="5224156" cy="519811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137</xdr:row>
      <xdr:rowOff>188848</xdr:rowOff>
    </xdr:from>
    <xdr:to>
      <xdr:col>8</xdr:col>
      <xdr:colOff>578484</xdr:colOff>
      <xdr:row>155</xdr:row>
      <xdr:rowOff>130175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DC65DC1-58BB-50A4-6E29-B82F2A777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76400" y="26287348"/>
          <a:ext cx="4950459" cy="3370327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161</xdr:row>
      <xdr:rowOff>66675</xdr:rowOff>
    </xdr:from>
    <xdr:to>
      <xdr:col>6</xdr:col>
      <xdr:colOff>171450</xdr:colOff>
      <xdr:row>171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7A21A15-5BC7-93A2-5D99-7AD21D2A4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52575" y="30737175"/>
          <a:ext cx="3448050" cy="19526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173</xdr:row>
      <xdr:rowOff>76200</xdr:rowOff>
    </xdr:from>
    <xdr:to>
      <xdr:col>9</xdr:col>
      <xdr:colOff>486410</xdr:colOff>
      <xdr:row>180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450744-D0AA-DAC4-EAE8-E6BEC98D8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7350" y="33223200"/>
          <a:ext cx="5487035" cy="136207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180</xdr:row>
      <xdr:rowOff>104775</xdr:rowOff>
    </xdr:from>
    <xdr:to>
      <xdr:col>10</xdr:col>
      <xdr:colOff>159385</xdr:colOff>
      <xdr:row>193</xdr:row>
      <xdr:rowOff>36830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7F8F694-DBBB-CF75-B056-B586C80E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5450" y="34394775"/>
          <a:ext cx="5731510" cy="2408555"/>
        </a:xfrm>
        <a:prstGeom prst="rect">
          <a:avLst/>
        </a:prstGeom>
      </xdr:spPr>
    </xdr:pic>
    <xdr:clientData/>
  </xdr:twoCellAnchor>
  <xdr:twoCellAnchor editAs="oneCell">
    <xdr:from>
      <xdr:col>2</xdr:col>
      <xdr:colOff>276225</xdr:colOff>
      <xdr:row>196</xdr:row>
      <xdr:rowOff>38100</xdr:rowOff>
    </xdr:from>
    <xdr:to>
      <xdr:col>4</xdr:col>
      <xdr:colOff>190500</xdr:colOff>
      <xdr:row>203</xdr:row>
      <xdr:rowOff>19050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6F64D2B-6226-8C80-61B8-58DBC090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0225" y="37376100"/>
          <a:ext cx="2000250" cy="131445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232</xdr:row>
      <xdr:rowOff>180975</xdr:rowOff>
    </xdr:from>
    <xdr:to>
      <xdr:col>5</xdr:col>
      <xdr:colOff>295673</xdr:colOff>
      <xdr:row>234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634F92C-254C-D832-CDC8-02C0F6946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66875" y="41328975"/>
          <a:ext cx="2848373" cy="276225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237</xdr:row>
      <xdr:rowOff>9525</xdr:rowOff>
    </xdr:from>
    <xdr:to>
      <xdr:col>5</xdr:col>
      <xdr:colOff>152770</xdr:colOff>
      <xdr:row>238</xdr:row>
      <xdr:rowOff>66675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E689468-EF3A-E80D-B353-94B483A38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24025" y="42110025"/>
          <a:ext cx="2648320" cy="2476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3</xdr:col>
      <xdr:colOff>409575</xdr:colOff>
      <xdr:row>216</xdr:row>
      <xdr:rowOff>95250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421F03D-E60C-6D1A-0ECB-2B4595376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00" y="39814500"/>
          <a:ext cx="1885950" cy="142875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208</xdr:row>
      <xdr:rowOff>152400</xdr:rowOff>
    </xdr:from>
    <xdr:to>
      <xdr:col>6</xdr:col>
      <xdr:colOff>266870</xdr:colOff>
      <xdr:row>219</xdr:row>
      <xdr:rowOff>38377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25EF7EC-A2F7-C68B-468D-0A9E496D0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76675" y="39776400"/>
          <a:ext cx="1219370" cy="1981477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218</xdr:row>
      <xdr:rowOff>9525</xdr:rowOff>
    </xdr:from>
    <xdr:to>
      <xdr:col>4</xdr:col>
      <xdr:colOff>9525</xdr:colOff>
      <xdr:row>224</xdr:row>
      <xdr:rowOff>133350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74D37AD-1734-3714-BE70-D8A8174A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743075" y="41538525"/>
          <a:ext cx="1876425" cy="12668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244</xdr:row>
      <xdr:rowOff>123825</xdr:rowOff>
    </xdr:from>
    <xdr:to>
      <xdr:col>8</xdr:col>
      <xdr:colOff>133981</xdr:colOff>
      <xdr:row>255</xdr:row>
      <xdr:rowOff>57433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80E3E4D-5CAD-1842-CAF2-1F547CBD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7350" y="46605825"/>
          <a:ext cx="4525006" cy="2029108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257</xdr:row>
      <xdr:rowOff>85725</xdr:rowOff>
    </xdr:from>
    <xdr:to>
      <xdr:col>3</xdr:col>
      <xdr:colOff>219285</xdr:colOff>
      <xdr:row>265</xdr:row>
      <xdr:rowOff>124043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6C7BA00-218C-47E9-7F7F-2A085092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714500" y="49044225"/>
          <a:ext cx="1505160" cy="1562318"/>
        </a:xfrm>
        <a:prstGeom prst="rect">
          <a:avLst/>
        </a:prstGeom>
      </xdr:spPr>
    </xdr:pic>
    <xdr:clientData/>
  </xdr:twoCellAnchor>
  <xdr:twoCellAnchor editAs="oneCell">
    <xdr:from>
      <xdr:col>3</xdr:col>
      <xdr:colOff>588402</xdr:colOff>
      <xdr:row>257</xdr:row>
      <xdr:rowOff>57149</xdr:rowOff>
    </xdr:from>
    <xdr:to>
      <xdr:col>7</xdr:col>
      <xdr:colOff>95581</xdr:colOff>
      <xdr:row>266</xdr:row>
      <xdr:rowOff>282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F1F536A-81DE-CAED-834A-3852B9736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588777" y="49015649"/>
          <a:ext cx="1945579" cy="165763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268</xdr:row>
      <xdr:rowOff>123825</xdr:rowOff>
    </xdr:from>
    <xdr:to>
      <xdr:col>8</xdr:col>
      <xdr:colOff>191131</xdr:colOff>
      <xdr:row>279</xdr:row>
      <xdr:rowOff>57433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90C06ED-B97C-4D4C-BCA6-2B58C199F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14500" y="51177825"/>
          <a:ext cx="4525006" cy="2029108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281</xdr:row>
      <xdr:rowOff>76200</xdr:rowOff>
    </xdr:from>
    <xdr:to>
      <xdr:col>8</xdr:col>
      <xdr:colOff>95879</xdr:colOff>
      <xdr:row>287</xdr:row>
      <xdr:rowOff>133518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A1E6798-7CB7-75AE-5525-FDB2025A7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38300" y="53606700"/>
          <a:ext cx="4505954" cy="1200318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288</xdr:row>
      <xdr:rowOff>19050</xdr:rowOff>
    </xdr:from>
    <xdr:to>
      <xdr:col>4</xdr:col>
      <xdr:colOff>485775</xdr:colOff>
      <xdr:row>300</xdr:row>
      <xdr:rowOff>66675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5E58372-263F-DA40-DC13-07D396929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752600" y="54883050"/>
          <a:ext cx="2343150" cy="2333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80DF-4A3A-4E3B-B7B6-2FF4398370FF}">
  <dimension ref="A1:J32"/>
  <sheetViews>
    <sheetView workbookViewId="0">
      <selection activeCell="C14" sqref="C14"/>
    </sheetView>
  </sheetViews>
  <sheetFormatPr defaultRowHeight="15" x14ac:dyDescent="0.25"/>
  <cols>
    <col min="1" max="1" width="10.42578125" style="5" bestFit="1" customWidth="1"/>
    <col min="2" max="2" width="13.140625" style="5" bestFit="1" customWidth="1"/>
    <col min="3" max="3" width="14.28515625" style="5" bestFit="1" customWidth="1"/>
    <col min="4" max="4" width="11.85546875" style="5" bestFit="1" customWidth="1"/>
    <col min="5" max="5" width="8.28515625" style="5" bestFit="1" customWidth="1"/>
    <col min="6" max="6" width="8.7109375" style="5" bestFit="1" customWidth="1"/>
    <col min="7" max="7" width="11.28515625" style="5" bestFit="1" customWidth="1"/>
    <col min="8" max="8" width="23.42578125" style="5" bestFit="1" customWidth="1"/>
    <col min="9" max="9" width="10.5703125" style="5" bestFit="1" customWidth="1"/>
    <col min="10" max="10" width="16.28515625" style="5" bestFit="1" customWidth="1"/>
    <col min="11" max="16384" width="9.140625" style="5"/>
  </cols>
  <sheetData>
    <row r="1" spans="1:10" x14ac:dyDescent="0.25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6" t="s">
        <v>54</v>
      </c>
      <c r="H1" s="5" t="s">
        <v>55</v>
      </c>
      <c r="I1" s="5" t="s">
        <v>52</v>
      </c>
      <c r="J1" s="6" t="s">
        <v>55</v>
      </c>
    </row>
    <row r="2" spans="1:10" x14ac:dyDescent="0.25">
      <c r="A2" s="7">
        <v>46050</v>
      </c>
      <c r="B2" s="5" t="s">
        <v>56</v>
      </c>
      <c r="C2" s="6" t="s">
        <v>57</v>
      </c>
      <c r="D2" s="5" t="s">
        <v>58</v>
      </c>
      <c r="E2" s="5">
        <v>1000</v>
      </c>
      <c r="F2" s="5">
        <v>30</v>
      </c>
      <c r="G2" s="5" t="s">
        <v>59</v>
      </c>
      <c r="H2" s="5" t="s">
        <v>60</v>
      </c>
      <c r="I2" s="8">
        <f>IF(ISBLANK(E2),AVERAGE(E2:E32),E2)</f>
        <v>1000</v>
      </c>
      <c r="J2" s="6" t="s">
        <v>59</v>
      </c>
    </row>
    <row r="3" spans="1:10" x14ac:dyDescent="0.25">
      <c r="A3" s="7">
        <v>46068</v>
      </c>
      <c r="B3" s="5" t="s">
        <v>56</v>
      </c>
      <c r="C3" s="5" t="s">
        <v>61</v>
      </c>
      <c r="D3" s="5" t="s">
        <v>62</v>
      </c>
      <c r="E3" s="5">
        <v>80</v>
      </c>
      <c r="F3" s="5">
        <v>15</v>
      </c>
      <c r="G3" s="5" t="s">
        <v>63</v>
      </c>
      <c r="H3" s="5" t="s">
        <v>64</v>
      </c>
      <c r="I3" s="8">
        <f>IF(ISBLANK(E3),AVERAGE(E3:E32),E3)</f>
        <v>80</v>
      </c>
      <c r="J3" s="5" t="s">
        <v>63</v>
      </c>
    </row>
    <row r="4" spans="1:10" x14ac:dyDescent="0.25">
      <c r="A4" s="7">
        <v>46084</v>
      </c>
      <c r="B4" s="5" t="s">
        <v>56</v>
      </c>
      <c r="C4" s="5" t="s">
        <v>65</v>
      </c>
      <c r="D4" s="5" t="s">
        <v>66</v>
      </c>
      <c r="E4" s="5">
        <v>130</v>
      </c>
      <c r="F4" s="5">
        <v>40</v>
      </c>
      <c r="G4" s="5" t="s">
        <v>67</v>
      </c>
      <c r="H4" s="5" t="s">
        <v>68</v>
      </c>
      <c r="I4" s="8">
        <f>IF(ISBLANK(E4),AVERAGE(E4:E32),E4)</f>
        <v>130</v>
      </c>
      <c r="J4" s="5" t="s">
        <v>67</v>
      </c>
    </row>
    <row r="5" spans="1:10" x14ac:dyDescent="0.25">
      <c r="A5" s="7">
        <v>46123</v>
      </c>
      <c r="B5" s="5" t="s">
        <v>56</v>
      </c>
      <c r="C5" s="5" t="s">
        <v>69</v>
      </c>
      <c r="D5" s="5" t="s">
        <v>70</v>
      </c>
      <c r="E5" s="5">
        <v>900</v>
      </c>
      <c r="F5" s="5">
        <v>25</v>
      </c>
      <c r="G5" s="5" t="s">
        <v>59</v>
      </c>
      <c r="H5" s="5" t="s">
        <v>71</v>
      </c>
      <c r="I5" s="8">
        <f>IF(ISBLANK(E5),AVERAGE(E5:E32),E5)</f>
        <v>900</v>
      </c>
      <c r="J5" s="5" t="s">
        <v>59</v>
      </c>
    </row>
    <row r="6" spans="1:10" x14ac:dyDescent="0.25">
      <c r="A6" s="7">
        <v>46164</v>
      </c>
      <c r="B6" s="5" t="s">
        <v>56</v>
      </c>
      <c r="C6" s="5" t="s">
        <v>72</v>
      </c>
      <c r="D6" s="5" t="s">
        <v>73</v>
      </c>
      <c r="E6" s="5">
        <v>70</v>
      </c>
      <c r="F6" s="5">
        <v>20</v>
      </c>
      <c r="H6" s="5" t="s">
        <v>74</v>
      </c>
      <c r="I6" s="8">
        <f>IF(ISBLANK(E6),AVERAGE(E6:E32),E6)</f>
        <v>70</v>
      </c>
      <c r="J6" s="5" t="s">
        <v>75</v>
      </c>
    </row>
    <row r="7" spans="1:10" x14ac:dyDescent="0.25">
      <c r="A7" s="7">
        <v>46180</v>
      </c>
      <c r="B7" s="5" t="s">
        <v>76</v>
      </c>
      <c r="C7" s="5" t="s">
        <v>77</v>
      </c>
      <c r="D7" s="5" t="s">
        <v>78</v>
      </c>
      <c r="F7" s="5">
        <v>45</v>
      </c>
      <c r="G7" s="5" t="s">
        <v>79</v>
      </c>
      <c r="H7" s="5" t="s">
        <v>80</v>
      </c>
      <c r="I7" s="8">
        <f>IF(ISBLANK(E7),AVERAGE(E7:E32),E7)</f>
        <v>267.82608695652175</v>
      </c>
      <c r="J7" s="5" t="s">
        <v>59</v>
      </c>
    </row>
    <row r="8" spans="1:10" x14ac:dyDescent="0.25">
      <c r="A8" s="7">
        <v>46222</v>
      </c>
      <c r="B8" s="5" t="s">
        <v>76</v>
      </c>
      <c r="C8" s="5" t="s">
        <v>81</v>
      </c>
      <c r="D8" s="5" t="s">
        <v>82</v>
      </c>
      <c r="E8" s="5">
        <v>30</v>
      </c>
      <c r="F8" s="5">
        <v>5</v>
      </c>
      <c r="G8" s="5" t="s">
        <v>63</v>
      </c>
      <c r="H8" s="5" t="s">
        <v>83</v>
      </c>
      <c r="I8" s="8">
        <f>IF(ISBLANK(E8),AVERAGE(E8:E32),E8)</f>
        <v>30</v>
      </c>
      <c r="J8" s="5" t="s">
        <v>63</v>
      </c>
    </row>
    <row r="9" spans="1:10" x14ac:dyDescent="0.25">
      <c r="A9" s="7">
        <v>46257</v>
      </c>
      <c r="B9" s="5" t="s">
        <v>76</v>
      </c>
      <c r="C9" s="5" t="s">
        <v>84</v>
      </c>
      <c r="D9" s="5" t="s">
        <v>85</v>
      </c>
      <c r="E9" s="5">
        <v>90</v>
      </c>
      <c r="F9" s="5">
        <v>35</v>
      </c>
      <c r="G9" s="5" t="s">
        <v>67</v>
      </c>
      <c r="H9" s="5" t="s">
        <v>86</v>
      </c>
      <c r="I9" s="8">
        <f>IF(ISBLANK(E9),AVERAGE(E9:E32),E9)</f>
        <v>90</v>
      </c>
      <c r="J9" s="5" t="s">
        <v>67</v>
      </c>
    </row>
    <row r="10" spans="1:10" x14ac:dyDescent="0.25">
      <c r="A10" s="7">
        <v>46270</v>
      </c>
      <c r="B10" s="5" t="s">
        <v>76</v>
      </c>
      <c r="C10" s="5" t="s">
        <v>87</v>
      </c>
      <c r="D10" s="5" t="s">
        <v>88</v>
      </c>
      <c r="E10" s="5">
        <v>500</v>
      </c>
      <c r="F10" s="5">
        <v>50</v>
      </c>
      <c r="G10" s="5" t="s">
        <v>59</v>
      </c>
      <c r="H10" s="5" t="s">
        <v>89</v>
      </c>
      <c r="I10" s="8">
        <f>IF(ISBLANK(E10),AVERAGE(E10:E32),E10)</f>
        <v>500</v>
      </c>
      <c r="J10" s="6" t="s">
        <v>59</v>
      </c>
    </row>
    <row r="11" spans="1:10" x14ac:dyDescent="0.25">
      <c r="A11" s="7">
        <v>46309</v>
      </c>
      <c r="B11" s="5" t="s">
        <v>76</v>
      </c>
      <c r="C11" s="5" t="s">
        <v>90</v>
      </c>
      <c r="D11" s="5" t="s">
        <v>91</v>
      </c>
      <c r="E11" s="5">
        <v>130</v>
      </c>
      <c r="F11" s="5">
        <v>10</v>
      </c>
      <c r="G11" s="5" t="s">
        <v>92</v>
      </c>
      <c r="H11" s="5" t="s">
        <v>93</v>
      </c>
      <c r="I11" s="8">
        <f>IF(ISBLANK(E11),AVERAGE(E11:E32),E11)</f>
        <v>130</v>
      </c>
      <c r="J11" s="5" t="s">
        <v>92</v>
      </c>
    </row>
    <row r="12" spans="1:10" x14ac:dyDescent="0.25">
      <c r="A12" s="7">
        <v>46190</v>
      </c>
      <c r="B12" s="5" t="s">
        <v>94</v>
      </c>
      <c r="C12" s="5" t="s">
        <v>95</v>
      </c>
      <c r="D12" s="5" t="s">
        <v>96</v>
      </c>
      <c r="E12" s="5">
        <v>950</v>
      </c>
      <c r="F12" s="5">
        <v>25</v>
      </c>
      <c r="G12" s="5" t="s">
        <v>59</v>
      </c>
      <c r="H12" s="5" t="s">
        <v>97</v>
      </c>
      <c r="I12" s="8">
        <f>IF(ISBLANK(E12),AVERAGE(E12:E32),E12)</f>
        <v>950</v>
      </c>
      <c r="J12" s="5" t="s">
        <v>59</v>
      </c>
    </row>
    <row r="13" spans="1:10" x14ac:dyDescent="0.25">
      <c r="A13" s="7">
        <v>46351</v>
      </c>
      <c r="B13" s="5" t="s">
        <v>98</v>
      </c>
      <c r="C13" s="5" t="s">
        <v>61</v>
      </c>
      <c r="D13" s="5" t="s">
        <v>82</v>
      </c>
      <c r="E13" s="5">
        <v>90</v>
      </c>
      <c r="F13" s="5">
        <v>40</v>
      </c>
      <c r="H13" s="5" t="s">
        <v>99</v>
      </c>
      <c r="I13" s="8">
        <f>IF(ISBLANK(E13),AVERAGE(E13:E32),E13)</f>
        <v>90</v>
      </c>
      <c r="J13" s="5" t="s">
        <v>75</v>
      </c>
    </row>
    <row r="14" spans="1:10" x14ac:dyDescent="0.25">
      <c r="A14" s="7">
        <v>46364</v>
      </c>
      <c r="B14" s="5" t="s">
        <v>100</v>
      </c>
      <c r="C14" s="5" t="s">
        <v>65</v>
      </c>
      <c r="D14" s="5" t="s">
        <v>101</v>
      </c>
      <c r="E14" s="5">
        <v>120</v>
      </c>
      <c r="F14" s="5">
        <v>35</v>
      </c>
      <c r="H14" s="5" t="s">
        <v>102</v>
      </c>
      <c r="I14" s="8">
        <f>IF(ISBLANK(E14),AVERAGE(E14:E32),E14)</f>
        <v>120</v>
      </c>
      <c r="J14" s="5" t="s">
        <v>75</v>
      </c>
    </row>
    <row r="15" spans="1:10" x14ac:dyDescent="0.25">
      <c r="A15" s="7">
        <v>46071</v>
      </c>
      <c r="B15" s="5" t="s">
        <v>103</v>
      </c>
      <c r="C15" s="5" t="s">
        <v>104</v>
      </c>
      <c r="D15" s="5" t="s">
        <v>105</v>
      </c>
      <c r="E15" s="5">
        <v>150</v>
      </c>
      <c r="F15" s="5">
        <v>15</v>
      </c>
      <c r="G15" s="5" t="s">
        <v>79</v>
      </c>
      <c r="H15" s="5" t="s">
        <v>106</v>
      </c>
      <c r="I15" s="8">
        <f>IF(ISBLANK(E15),AVERAGE(E15:E32),E15)</f>
        <v>150</v>
      </c>
      <c r="J15" s="5" t="s">
        <v>59</v>
      </c>
    </row>
    <row r="16" spans="1:10" x14ac:dyDescent="0.25">
      <c r="A16" s="7">
        <v>46128</v>
      </c>
      <c r="B16" s="5" t="s">
        <v>107</v>
      </c>
      <c r="C16" s="5" t="s">
        <v>108</v>
      </c>
      <c r="D16" s="5" t="s">
        <v>109</v>
      </c>
      <c r="E16" s="5">
        <v>250</v>
      </c>
      <c r="F16" s="5">
        <v>20</v>
      </c>
      <c r="G16" s="5" t="s">
        <v>79</v>
      </c>
      <c r="H16" s="5" t="s">
        <v>110</v>
      </c>
      <c r="I16" s="8">
        <f>IF(ISBLANK(E16),AVERAGE(E16:E32),E16)</f>
        <v>250</v>
      </c>
      <c r="J16" s="5" t="s">
        <v>59</v>
      </c>
    </row>
    <row r="17" spans="1:10" x14ac:dyDescent="0.25">
      <c r="A17" s="7">
        <v>46255</v>
      </c>
      <c r="B17" s="5" t="s">
        <v>103</v>
      </c>
      <c r="C17" s="5" t="s">
        <v>111</v>
      </c>
      <c r="D17" s="5" t="s">
        <v>112</v>
      </c>
      <c r="E17" s="5">
        <v>50</v>
      </c>
      <c r="F17" s="5">
        <v>35</v>
      </c>
      <c r="G17" s="5" t="s">
        <v>113</v>
      </c>
      <c r="H17" s="5" t="s">
        <v>114</v>
      </c>
      <c r="I17" s="8">
        <f>IF(ISBLANK(E17),AVERAGE(E17:E32),E17)</f>
        <v>50</v>
      </c>
      <c r="J17" s="5" t="s">
        <v>113</v>
      </c>
    </row>
    <row r="18" spans="1:10" x14ac:dyDescent="0.25">
      <c r="A18" s="7">
        <v>46254</v>
      </c>
      <c r="B18" s="5" t="s">
        <v>115</v>
      </c>
      <c r="C18" s="5" t="s">
        <v>104</v>
      </c>
      <c r="D18" s="5" t="s">
        <v>116</v>
      </c>
      <c r="E18" s="5">
        <v>160</v>
      </c>
      <c r="F18" s="5">
        <v>15</v>
      </c>
      <c r="G18" s="5" t="s">
        <v>79</v>
      </c>
      <c r="H18" s="5" t="s">
        <v>117</v>
      </c>
      <c r="I18" s="8">
        <f>IF(ISBLANK(E18),AVERAGE(E18:E32),E18)</f>
        <v>160</v>
      </c>
      <c r="J18" s="5" t="s">
        <v>59</v>
      </c>
    </row>
    <row r="19" spans="1:10" x14ac:dyDescent="0.25">
      <c r="A19" s="7">
        <v>46049</v>
      </c>
      <c r="B19" s="5" t="s">
        <v>118</v>
      </c>
      <c r="C19" s="5" t="s">
        <v>57</v>
      </c>
      <c r="D19" s="5" t="s">
        <v>119</v>
      </c>
      <c r="E19" s="5">
        <v>980</v>
      </c>
      <c r="F19" s="5">
        <v>10</v>
      </c>
      <c r="G19" s="5" t="s">
        <v>59</v>
      </c>
      <c r="H19" s="5" t="s">
        <v>120</v>
      </c>
      <c r="I19" s="8">
        <f>IF(ISBLANK(E19),AVERAGE(E19:E32),E19)</f>
        <v>980</v>
      </c>
      <c r="J19" s="5" t="s">
        <v>59</v>
      </c>
    </row>
    <row r="20" spans="1:10" x14ac:dyDescent="0.25">
      <c r="A20" s="7">
        <v>46082</v>
      </c>
      <c r="B20" s="5" t="s">
        <v>76</v>
      </c>
      <c r="C20" s="5" t="s">
        <v>121</v>
      </c>
      <c r="D20" s="5" t="s">
        <v>122</v>
      </c>
      <c r="E20" s="5">
        <v>150</v>
      </c>
      <c r="F20" s="5">
        <v>15</v>
      </c>
      <c r="G20" s="5" t="s">
        <v>63</v>
      </c>
      <c r="H20" s="5" t="s">
        <v>123</v>
      </c>
      <c r="I20" s="8">
        <f>IF(ISBLANK(E20),AVERAGE(E20:E32),E20)</f>
        <v>150</v>
      </c>
      <c r="J20" s="5" t="s">
        <v>63</v>
      </c>
    </row>
    <row r="21" spans="1:10" x14ac:dyDescent="0.25">
      <c r="A21" s="7">
        <v>46248</v>
      </c>
      <c r="B21" s="5" t="s">
        <v>56</v>
      </c>
      <c r="C21" s="5" t="s">
        <v>124</v>
      </c>
      <c r="D21" s="5" t="s">
        <v>125</v>
      </c>
      <c r="F21" s="5">
        <v>10</v>
      </c>
      <c r="G21" s="5" t="s">
        <v>92</v>
      </c>
      <c r="H21" s="5" t="s">
        <v>126</v>
      </c>
      <c r="I21" s="8">
        <f>IF(ISBLANK(E21),AVERAGE(E21:E32),E21)</f>
        <v>251</v>
      </c>
      <c r="J21" s="5" t="s">
        <v>92</v>
      </c>
    </row>
    <row r="22" spans="1:10" x14ac:dyDescent="0.25">
      <c r="A22" s="7">
        <v>46156</v>
      </c>
      <c r="B22" s="5" t="s">
        <v>127</v>
      </c>
      <c r="C22" s="5" t="s">
        <v>128</v>
      </c>
      <c r="D22" s="5" t="s">
        <v>129</v>
      </c>
      <c r="E22" s="5">
        <v>700</v>
      </c>
      <c r="F22" s="5">
        <v>50</v>
      </c>
      <c r="G22" s="5" t="s">
        <v>59</v>
      </c>
      <c r="H22" s="5" t="s">
        <v>130</v>
      </c>
      <c r="I22" s="8">
        <f>IF(ISBLANK(E22),AVERAGE(E22:E32),E22)</f>
        <v>700</v>
      </c>
      <c r="J22" s="5" t="s">
        <v>59</v>
      </c>
    </row>
    <row r="23" spans="1:10" x14ac:dyDescent="0.25">
      <c r="A23" s="7">
        <v>46031</v>
      </c>
      <c r="B23" s="5" t="s">
        <v>103</v>
      </c>
      <c r="C23" s="5" t="s">
        <v>131</v>
      </c>
      <c r="D23" s="5" t="s">
        <v>132</v>
      </c>
      <c r="E23" s="5">
        <v>80</v>
      </c>
      <c r="F23" s="5">
        <v>20</v>
      </c>
      <c r="G23" s="5" t="s">
        <v>67</v>
      </c>
      <c r="H23" s="5" t="s">
        <v>133</v>
      </c>
      <c r="I23" s="8">
        <f>IF(ISBLANK(E23),AVERAGE(E23:E32),E23)</f>
        <v>80</v>
      </c>
      <c r="J23" s="5" t="s">
        <v>67</v>
      </c>
    </row>
    <row r="24" spans="1:10" x14ac:dyDescent="0.25">
      <c r="A24" s="7">
        <v>46222</v>
      </c>
      <c r="B24" s="5" t="s">
        <v>134</v>
      </c>
      <c r="C24" s="5" t="s">
        <v>135</v>
      </c>
      <c r="D24" s="5" t="s">
        <v>136</v>
      </c>
      <c r="E24" s="5">
        <v>150</v>
      </c>
      <c r="F24" s="5">
        <v>30</v>
      </c>
      <c r="H24" s="5" t="s">
        <v>137</v>
      </c>
      <c r="I24" s="8">
        <f>IF(ISBLANK(E24),AVERAGE(E24:E32),E24)</f>
        <v>150</v>
      </c>
      <c r="J24" s="5" t="s">
        <v>75</v>
      </c>
    </row>
    <row r="25" spans="1:10" x14ac:dyDescent="0.25">
      <c r="A25" s="7">
        <v>46294</v>
      </c>
      <c r="B25" s="5" t="s">
        <v>103</v>
      </c>
      <c r="C25" s="5" t="s">
        <v>138</v>
      </c>
      <c r="D25" s="5" t="s">
        <v>139</v>
      </c>
      <c r="E25" s="5">
        <v>800</v>
      </c>
      <c r="F25" s="5">
        <v>45</v>
      </c>
      <c r="G25" s="5" t="s">
        <v>59</v>
      </c>
      <c r="H25" s="5" t="s">
        <v>140</v>
      </c>
      <c r="I25" s="8">
        <f>IF(ISBLANK(E25),AVERAGE(E25:E32),E25)</f>
        <v>800</v>
      </c>
      <c r="J25" s="5" t="s">
        <v>59</v>
      </c>
    </row>
    <row r="26" spans="1:10" x14ac:dyDescent="0.25">
      <c r="A26" s="7">
        <v>46176</v>
      </c>
      <c r="B26" s="5" t="s">
        <v>103</v>
      </c>
      <c r="C26" s="5" t="s">
        <v>121</v>
      </c>
      <c r="D26" s="5" t="s">
        <v>141</v>
      </c>
      <c r="F26" s="5">
        <v>25</v>
      </c>
      <c r="G26" s="5" t="s">
        <v>63</v>
      </c>
      <c r="H26" s="5" t="s">
        <v>142</v>
      </c>
      <c r="I26" s="8">
        <f>IF(ISBLANK(E26),AVERAGE(E26:E32),E26)</f>
        <v>130</v>
      </c>
      <c r="J26" s="5" t="s">
        <v>63</v>
      </c>
    </row>
    <row r="27" spans="1:10" x14ac:dyDescent="0.25">
      <c r="A27" s="7">
        <v>46214</v>
      </c>
      <c r="B27" s="5" t="s">
        <v>103</v>
      </c>
      <c r="C27" s="5" t="s">
        <v>84</v>
      </c>
      <c r="D27" s="5" t="s">
        <v>143</v>
      </c>
      <c r="E27" s="5">
        <v>400</v>
      </c>
      <c r="F27" s="5">
        <v>40</v>
      </c>
      <c r="G27" s="5" t="s">
        <v>67</v>
      </c>
      <c r="H27" s="5" t="s">
        <v>144</v>
      </c>
      <c r="I27" s="8">
        <f>IF(ISBLANK(E27),AVERAGE(E27:E32),E27)</f>
        <v>400</v>
      </c>
      <c r="J27" s="5" t="s">
        <v>67</v>
      </c>
    </row>
    <row r="28" spans="1:10" x14ac:dyDescent="0.25">
      <c r="A28" s="7">
        <v>46088</v>
      </c>
      <c r="B28" s="5" t="s">
        <v>103</v>
      </c>
      <c r="C28" s="5" t="s">
        <v>145</v>
      </c>
      <c r="D28" s="5" t="s">
        <v>146</v>
      </c>
      <c r="E28" s="5">
        <v>60</v>
      </c>
      <c r="F28" s="5">
        <v>30</v>
      </c>
      <c r="G28" s="5" t="s">
        <v>63</v>
      </c>
      <c r="H28" s="5" t="s">
        <v>147</v>
      </c>
      <c r="I28" s="8">
        <f>IF(ISBLANK(E28),AVERAGE(E28:E32),E28)</f>
        <v>60</v>
      </c>
      <c r="J28" s="5" t="s">
        <v>63</v>
      </c>
    </row>
    <row r="29" spans="1:10" x14ac:dyDescent="0.25">
      <c r="A29" s="7">
        <v>46125</v>
      </c>
      <c r="B29" s="5" t="s">
        <v>103</v>
      </c>
      <c r="C29" s="5" t="s">
        <v>148</v>
      </c>
      <c r="D29" s="5" t="s">
        <v>149</v>
      </c>
      <c r="E29" s="5">
        <v>40</v>
      </c>
      <c r="F29" s="5">
        <v>10</v>
      </c>
      <c r="G29" s="5" t="s">
        <v>67</v>
      </c>
      <c r="H29" s="5" t="s">
        <v>150</v>
      </c>
      <c r="I29" s="8">
        <f>IF(ISBLANK(E29),AVERAGE(E29:E32),E29)</f>
        <v>40</v>
      </c>
      <c r="J29" s="5" t="s">
        <v>67</v>
      </c>
    </row>
    <row r="30" spans="1:10" x14ac:dyDescent="0.25">
      <c r="A30" s="7">
        <v>46166</v>
      </c>
      <c r="B30" s="5" t="s">
        <v>103</v>
      </c>
      <c r="C30" s="5" t="s">
        <v>135</v>
      </c>
      <c r="D30" s="5" t="s">
        <v>151</v>
      </c>
      <c r="E30" s="5">
        <v>130</v>
      </c>
      <c r="F30" s="5">
        <v>5</v>
      </c>
      <c r="G30" s="5" t="s">
        <v>59</v>
      </c>
      <c r="H30" s="5" t="s">
        <v>152</v>
      </c>
      <c r="I30" s="8">
        <f>IF(ISBLANK(E30),AVERAGE(E30:E32),E30)</f>
        <v>130</v>
      </c>
      <c r="J30" s="5" t="s">
        <v>59</v>
      </c>
    </row>
    <row r="31" spans="1:10" x14ac:dyDescent="0.25">
      <c r="A31" s="7">
        <v>46358</v>
      </c>
      <c r="B31" s="5" t="s">
        <v>103</v>
      </c>
      <c r="C31" s="5" t="s">
        <v>153</v>
      </c>
      <c r="D31" s="5" t="s">
        <v>154</v>
      </c>
      <c r="E31" s="5">
        <v>50</v>
      </c>
      <c r="F31" s="5">
        <v>50</v>
      </c>
      <c r="G31" s="5" t="s">
        <v>63</v>
      </c>
      <c r="H31" s="5" t="s">
        <v>155</v>
      </c>
      <c r="I31" s="8">
        <f>IF(ISBLANK(E31),AVERAGE(E31:E32),E31)</f>
        <v>50</v>
      </c>
      <c r="J31" s="5" t="s">
        <v>63</v>
      </c>
    </row>
    <row r="32" spans="1:10" x14ac:dyDescent="0.25">
      <c r="A32" s="7">
        <v>46212</v>
      </c>
      <c r="B32" s="5" t="s">
        <v>156</v>
      </c>
      <c r="C32" s="5" t="s">
        <v>157</v>
      </c>
      <c r="D32" s="5" t="s">
        <v>158</v>
      </c>
      <c r="E32" s="5">
        <v>100</v>
      </c>
      <c r="F32" s="5">
        <v>20</v>
      </c>
      <c r="G32" s="5" t="s">
        <v>113</v>
      </c>
      <c r="H32" s="5" t="s">
        <v>159</v>
      </c>
      <c r="I32" s="8">
        <f>IF(ISBLANK(E32),AVERAGE(E32:E32),E32)</f>
        <v>100</v>
      </c>
      <c r="J32" s="5" t="s">
        <v>113</v>
      </c>
    </row>
  </sheetData>
  <conditionalFormatting sqref="I1:I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{E6040D1D-2C44-4E76-8902-4FD6CE0CCA16}</x14:id>
        </ext>
      </extLst>
    </cfRule>
  </conditionalFormatting>
  <conditionalFormatting sqref="J1:J32">
    <cfRule type="containsText" dxfId="1" priority="1" operator="containsText" text="Electronics">
      <formula>NOT(ISERROR(SEARCH("Electronics",J1)))</formula>
    </cfRule>
    <cfRule type="containsText" dxfId="0" priority="2" operator="containsText" text="Elecctronics">
      <formula>NOT(ISERROR(SEARCH("Elecctronics",J1)))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040D1D-2C44-4E76-8902-4FD6CE0CC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FF8D-7370-4701-A793-5291AF6D7DE2}">
  <dimension ref="B2:G281"/>
  <sheetViews>
    <sheetView tabSelected="1" topLeftCell="A58" workbookViewId="0">
      <selection activeCell="J67" sqref="J67"/>
    </sheetView>
  </sheetViews>
  <sheetFormatPr defaultRowHeight="15" x14ac:dyDescent="0.25"/>
  <cols>
    <col min="2" max="2" width="13.7109375" bestFit="1" customWidth="1"/>
    <col min="3" max="3" width="22.140625" bestFit="1" customWidth="1"/>
  </cols>
  <sheetData>
    <row r="2" spans="2:7" x14ac:dyDescent="0.25">
      <c r="G2" s="1" t="s">
        <v>0</v>
      </c>
    </row>
    <row r="5" spans="2:7" x14ac:dyDescent="0.25">
      <c r="B5" s="4" t="s">
        <v>1</v>
      </c>
    </row>
    <row r="7" spans="2:7" x14ac:dyDescent="0.25">
      <c r="C7" s="4" t="s">
        <v>2</v>
      </c>
    </row>
    <row r="9" spans="2:7" x14ac:dyDescent="0.25">
      <c r="D9" t="s">
        <v>3</v>
      </c>
    </row>
    <row r="10" spans="2:7" x14ac:dyDescent="0.25">
      <c r="D10" t="s">
        <v>4</v>
      </c>
    </row>
    <row r="11" spans="2:7" x14ac:dyDescent="0.25">
      <c r="D11" s="2" t="s">
        <v>5</v>
      </c>
    </row>
    <row r="12" spans="2:7" x14ac:dyDescent="0.25">
      <c r="D12" s="3">
        <v>4</v>
      </c>
    </row>
    <row r="19" spans="3:4" x14ac:dyDescent="0.25">
      <c r="D19" s="2">
        <v>5</v>
      </c>
    </row>
    <row r="29" spans="3:4" x14ac:dyDescent="0.25">
      <c r="D29" s="2" t="s">
        <v>6</v>
      </c>
    </row>
    <row r="31" spans="3:4" x14ac:dyDescent="0.25">
      <c r="C31" t="s">
        <v>7</v>
      </c>
    </row>
    <row r="33" spans="4:4" x14ac:dyDescent="0.25">
      <c r="D33" t="s">
        <v>8</v>
      </c>
    </row>
    <row r="34" spans="4:4" x14ac:dyDescent="0.25">
      <c r="D34" t="s">
        <v>9</v>
      </c>
    </row>
    <row r="54" spans="4:4" x14ac:dyDescent="0.25">
      <c r="D54" t="s">
        <v>10</v>
      </c>
    </row>
    <row r="62" spans="4:4" x14ac:dyDescent="0.25">
      <c r="D62" t="s">
        <v>11</v>
      </c>
    </row>
    <row r="66" spans="3:3" x14ac:dyDescent="0.25">
      <c r="C66" s="4" t="s">
        <v>12</v>
      </c>
    </row>
    <row r="67" spans="3:3" x14ac:dyDescent="0.25">
      <c r="C67" t="s">
        <v>13</v>
      </c>
    </row>
    <row r="68" spans="3:3" x14ac:dyDescent="0.25">
      <c r="C68" t="s">
        <v>14</v>
      </c>
    </row>
    <row r="69" spans="3:3" x14ac:dyDescent="0.25">
      <c r="C69" t="s">
        <v>18</v>
      </c>
    </row>
    <row r="70" spans="3:3" x14ac:dyDescent="0.25">
      <c r="C70" s="2">
        <v>4</v>
      </c>
    </row>
    <row r="91" spans="3:3" x14ac:dyDescent="0.25">
      <c r="C91" t="s">
        <v>15</v>
      </c>
    </row>
    <row r="92" spans="3:3" x14ac:dyDescent="0.25">
      <c r="C92" t="s">
        <v>16</v>
      </c>
    </row>
    <row r="93" spans="3:3" x14ac:dyDescent="0.25">
      <c r="C93" s="2">
        <v>7</v>
      </c>
    </row>
    <row r="105" spans="3:3" x14ac:dyDescent="0.25">
      <c r="C105" s="4" t="s">
        <v>20</v>
      </c>
    </row>
    <row r="107" spans="3:3" x14ac:dyDescent="0.25">
      <c r="C107" t="s">
        <v>21</v>
      </c>
    </row>
    <row r="108" spans="3:3" x14ac:dyDescent="0.25">
      <c r="C108" t="s">
        <v>22</v>
      </c>
    </row>
    <row r="109" spans="3:3" x14ac:dyDescent="0.25">
      <c r="C109" t="s">
        <v>23</v>
      </c>
    </row>
    <row r="110" spans="3:3" x14ac:dyDescent="0.25">
      <c r="C110" t="s">
        <v>24</v>
      </c>
    </row>
    <row r="157" spans="3:3" x14ac:dyDescent="0.25">
      <c r="C157" t="s">
        <v>25</v>
      </c>
    </row>
    <row r="158" spans="3:3" x14ac:dyDescent="0.25">
      <c r="C158" t="s">
        <v>26</v>
      </c>
    </row>
    <row r="159" spans="3:3" x14ac:dyDescent="0.25">
      <c r="C159" t="s">
        <v>27</v>
      </c>
    </row>
    <row r="160" spans="3:3" x14ac:dyDescent="0.25">
      <c r="C160" t="s">
        <v>28</v>
      </c>
    </row>
    <row r="161" spans="3:3" x14ac:dyDescent="0.25">
      <c r="C161" t="s">
        <v>29</v>
      </c>
    </row>
    <row r="173" spans="3:3" x14ac:dyDescent="0.25">
      <c r="C173" t="s">
        <v>30</v>
      </c>
    </row>
    <row r="195" spans="3:3" x14ac:dyDescent="0.25">
      <c r="C195" t="s">
        <v>31</v>
      </c>
    </row>
    <row r="196" spans="3:3" x14ac:dyDescent="0.25">
      <c r="C196" t="s">
        <v>32</v>
      </c>
    </row>
    <row r="205" spans="3:3" x14ac:dyDescent="0.25">
      <c r="C205" s="4" t="s">
        <v>33</v>
      </c>
    </row>
    <row r="207" spans="3:3" x14ac:dyDescent="0.25">
      <c r="C207" t="s">
        <v>34</v>
      </c>
    </row>
    <row r="208" spans="3:3" x14ac:dyDescent="0.25">
      <c r="C208" t="s">
        <v>35</v>
      </c>
    </row>
    <row r="209" spans="3:3" x14ac:dyDescent="0.25">
      <c r="C209" t="s">
        <v>40</v>
      </c>
    </row>
    <row r="221" spans="3:3" x14ac:dyDescent="0.25">
      <c r="C221" s="2">
        <v>4</v>
      </c>
    </row>
    <row r="228" spans="3:3" x14ac:dyDescent="0.25">
      <c r="C228" s="4" t="s">
        <v>41</v>
      </c>
    </row>
    <row r="230" spans="3:3" x14ac:dyDescent="0.25">
      <c r="C230" t="s">
        <v>17</v>
      </c>
    </row>
    <row r="231" spans="3:3" x14ac:dyDescent="0.25">
      <c r="C231" s="2" t="s">
        <v>19</v>
      </c>
    </row>
    <row r="232" spans="3:3" x14ac:dyDescent="0.25">
      <c r="C232" t="s">
        <v>36</v>
      </c>
    </row>
    <row r="233" spans="3:3" x14ac:dyDescent="0.25">
      <c r="C233" t="s">
        <v>37</v>
      </c>
    </row>
    <row r="234" spans="3:3" x14ac:dyDescent="0.25">
      <c r="C234" s="2">
        <v>5</v>
      </c>
    </row>
    <row r="236" spans="3:3" x14ac:dyDescent="0.25">
      <c r="C236" t="s">
        <v>38</v>
      </c>
    </row>
    <row r="237" spans="3:3" x14ac:dyDescent="0.25">
      <c r="C237" t="s">
        <v>39</v>
      </c>
    </row>
    <row r="238" spans="3:3" x14ac:dyDescent="0.25">
      <c r="C238" s="2">
        <v>8</v>
      </c>
    </row>
    <row r="241" spans="3:3" x14ac:dyDescent="0.25">
      <c r="C241" s="4" t="s">
        <v>42</v>
      </c>
    </row>
    <row r="243" spans="3:3" x14ac:dyDescent="0.25">
      <c r="C243" t="s">
        <v>43</v>
      </c>
    </row>
    <row r="244" spans="3:3" x14ac:dyDescent="0.25">
      <c r="C244" t="s">
        <v>44</v>
      </c>
    </row>
    <row r="257" spans="3:3" x14ac:dyDescent="0.25">
      <c r="C257" t="s">
        <v>45</v>
      </c>
    </row>
    <row r="268" spans="3:3" x14ac:dyDescent="0.25">
      <c r="C268" t="s">
        <v>46</v>
      </c>
    </row>
    <row r="281" spans="3:3" x14ac:dyDescent="0.25">
      <c r="C28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Parkavi Thirumal</dc:creator>
  <cp:lastModifiedBy>Parkavi Thirumal</cp:lastModifiedBy>
  <dcterms:created xsi:type="dcterms:W3CDTF">2026-09-20T19:28:38Z</dcterms:created>
  <dcterms:modified xsi:type="dcterms:W3CDTF">2026-09-23T22:14:23Z</dcterms:modified>
</cp:coreProperties>
</file>